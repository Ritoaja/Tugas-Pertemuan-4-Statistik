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 S U S\Downloads\"/>
    </mc:Choice>
  </mc:AlternateContent>
  <xr:revisionPtr revIDLastSave="0" documentId="13_ncr:1_{E7230FA5-919A-4AE1-A337-F749FAD1B0C8}" xr6:coauthVersionLast="47" xr6:coauthVersionMax="47" xr10:uidLastSave="{00000000-0000-0000-0000-000000000000}"/>
  <bookViews>
    <workbookView xWindow="-108" yWindow="-108" windowWidth="23256" windowHeight="13176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1" l="1"/>
  <c r="P9" i="1"/>
  <c r="P10" i="1"/>
  <c r="P11" i="1"/>
  <c r="P12" i="1"/>
  <c r="P13" i="1"/>
  <c r="P14" i="1"/>
  <c r="Q9" i="1"/>
  <c r="Q10" i="1"/>
  <c r="Q11" i="1"/>
  <c r="Q12" i="1"/>
  <c r="Q13" i="1"/>
  <c r="Q14" i="1"/>
  <c r="Q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G8" i="1"/>
  <c r="H8" i="1" s="1"/>
</calcChain>
</file>

<file path=xl/sharedStrings.xml><?xml version="1.0" encoding="utf-8"?>
<sst xmlns="http://schemas.openxmlformats.org/spreadsheetml/2006/main" count="72" uniqueCount="70">
  <si>
    <t>Excel Sample Data</t>
  </si>
  <si>
    <t>Students Marksheet Data</t>
  </si>
  <si>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</si>
  <si>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</si>
  <si>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</si>
  <si>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</si>
  <si>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</si>
  <si>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</si>
  <si>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</si>
  <si>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</si>
  <si>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</si>
  <si>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</si>
  <si>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</si>
  <si>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</si>
  <si>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</si>
  <si>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</si>
  <si>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</si>
  <si>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</si>
  <si>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</si>
  <si>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</si>
  <si>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</si>
  <si>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</si>
  <si>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</si>
  <si>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</si>
  <si>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</si>
  <si>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</si>
  <si>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</si>
  <si>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</si>
  <si>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</si>
  <si>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</si>
  <si>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</si>
  <si>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</si>
  <si>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</si>
  <si>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</si>
  <si>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</si>
  <si>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</si>
  <si>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</si>
  <si>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</si>
  <si>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</si>
  <si>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Score</t>
  </si>
  <si>
    <t>Frequency</t>
  </si>
  <si>
    <t>Percentage</t>
  </si>
  <si>
    <t>81-100</t>
  </si>
  <si>
    <t>76-80</t>
  </si>
  <si>
    <t>66-75</t>
  </si>
  <si>
    <t>61-65</t>
  </si>
  <si>
    <t>51-60</t>
  </si>
  <si>
    <t>41-50</t>
  </si>
  <si>
    <t>0-40</t>
  </si>
  <si>
    <t>A</t>
  </si>
  <si>
    <t>AB</t>
  </si>
  <si>
    <t>B</t>
  </si>
  <si>
    <t>BC</t>
  </si>
  <si>
    <t>C</t>
  </si>
  <si>
    <t>D</t>
  </si>
  <si>
    <t>E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</si>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</sst>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11" xfId="0" applyBorder="1"/>
    <xf numFmtId="0" fontId="0" fillId="0" borderId="12" xfId="0" applyBorder="1"/>
    <xf numFmtId="9" fontId="0" fillId="0" borderId="13" xfId="1" applyFont="1" applyBorder="1"/>
    <xf numFmtId="0" fontId="0" fillId="0" borderId="17" xfId="0" applyBorder="1"/>
    <xf numFmtId="0" fontId="0" fillId="0" borderId="18" xfId="0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Continuous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Continuous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Sheet1!$O$8:$O$14</c:f>
              <c:strCache>
                <c:ptCount val="7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</c:strCache>
            </c:strRef>
          </c:cat>
          <c:val>
            <c:numRef>
              <c:f>Sheet1!$P$8:$P$14</c:f>
              <c:numCache>
                <c:formatCode>General</c:formatCode>
                <c:ptCount val="7"/>
                <c:pt idx="0">
                  <c:v>76.221333333333334</c:v>
                </c:pt>
                <c:pt idx="1">
                  <c:v>2.458650865134846</c:v>
                </c:pt>
                <c:pt idx="2">
                  <c:v>78.8</c:v>
                </c:pt>
                <c:pt idx="3">
                  <c:v>80.3</c:v>
                </c:pt>
                <c:pt idx="4">
                  <c:v>13.466585398639472</c:v>
                </c:pt>
                <c:pt idx="5">
                  <c:v>181.34892229884983</c:v>
                </c:pt>
                <c:pt idx="6">
                  <c:v>-0.52746295616182159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F-4DDA-98A1-57C21422CA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710978127"/>
        <c:axId val="1510752207"/>
        <c:axId val="0"/>
      </c:bar3DChart>
      <c:catAx>
        <c:axId val="171097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752207"/>
        <c:crosses val="autoZero"/>
        <c:auto val="1"/>
        <c:lblAlgn val="ctr"/>
        <c:lblOffset val="100"/>
        <c:noMultiLvlLbl val="0"/>
      </c:catAx>
      <c:valAx>
        <c:axId val="1510752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097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11111111111109E-2"/>
          <c:y val="0.2174537037037037"/>
          <c:w val="0.93888888888888888"/>
          <c:h val="0.69866542723826186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Sheet1!$O$8:$O$14</c:f>
              <c:strCache>
                <c:ptCount val="7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</c:strCache>
            </c:strRef>
          </c:cat>
          <c:val>
            <c:numRef>
              <c:f>Sheet1!$P$8:$P$14</c:f>
              <c:numCache>
                <c:formatCode>General</c:formatCode>
                <c:ptCount val="7"/>
                <c:pt idx="0">
                  <c:v>76.221333333333334</c:v>
                </c:pt>
                <c:pt idx="1">
                  <c:v>2.458650865134846</c:v>
                </c:pt>
                <c:pt idx="2">
                  <c:v>78.8</c:v>
                </c:pt>
                <c:pt idx="3">
                  <c:v>80.3</c:v>
                </c:pt>
                <c:pt idx="4">
                  <c:v>13.466585398639472</c:v>
                </c:pt>
                <c:pt idx="5">
                  <c:v>181.34892229884983</c:v>
                </c:pt>
                <c:pt idx="6">
                  <c:v>-0.52746295616182159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E-4F87-ADBB-671648AFA8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60562063"/>
        <c:axId val="1510715727"/>
      </c:lineChart>
      <c:catAx>
        <c:axId val="1860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715727"/>
        <c:crosses val="autoZero"/>
        <c:auto val="1"/>
        <c:lblAlgn val="ctr"/>
        <c:lblOffset val="100"/>
        <c:noMultiLvlLbl val="0"/>
      </c:catAx>
      <c:valAx>
        <c:axId val="151071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6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73850434095685E-2"/>
          <c:y val="0.173942914579437"/>
          <c:w val="0.93882614956590427"/>
          <c:h val="0.6686346514601899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4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779-40DE-84AE-3566EF7B08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779-40DE-84AE-3566EF7B08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8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8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8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779-40DE-84AE-3566EF7B08A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D65-4A99-A39A-55EE0F58B9D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779-40DE-84AE-3566EF7B08A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8779-40DE-84AE-3566EF7B08A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8779-40DE-84AE-3566EF7B08AA}"/>
              </c:ext>
            </c:extLst>
          </c:dPt>
          <c:dLbls>
            <c:dLbl>
              <c:idx val="3"/>
              <c:layout>
                <c:manualLayout>
                  <c:x val="0.12279790026246719"/>
                  <c:y val="8.5498323126275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5-4A99-A39A-55EE0F58B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Sheet1!$O$8:$O$14</c:f>
              <c:strCache>
                <c:ptCount val="7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</c:strCache>
            </c:strRef>
          </c:cat>
          <c:val>
            <c:numRef>
              <c:f>Sheet1!$Q$8:$Q$14</c:f>
              <c:numCache>
                <c:formatCode>0%</c:formatCode>
                <c:ptCount val="7"/>
                <c:pt idx="0">
                  <c:v>2.5407111111111109</c:v>
                </c:pt>
                <c:pt idx="1">
                  <c:v>8.1955028837828195E-2</c:v>
                </c:pt>
                <c:pt idx="2">
                  <c:v>2.6266666666666665</c:v>
                </c:pt>
                <c:pt idx="3">
                  <c:v>2.6766666666666667</c:v>
                </c:pt>
                <c:pt idx="4">
                  <c:v>0.44888617995464908</c:v>
                </c:pt>
                <c:pt idx="5">
                  <c:v>6.0449640766283279</c:v>
                </c:pt>
                <c:pt idx="6">
                  <c:v>-1.7582098538727386E-2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5-4A99-A39A-55EE0F58B9D4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14</xdr:row>
      <xdr:rowOff>172720</xdr:rowOff>
    </xdr:from>
    <xdr:to>
      <xdr:col>19</xdr:col>
      <xdr:colOff>355600</xdr:colOff>
      <xdr:row>29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9D3F8-DAA7-D1A4-2778-C9D2A304D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50800</xdr:colOff>
      <xdr:row>31</xdr:row>
      <xdr:rowOff>0</xdr:rowOff>
    </xdr:from>
    <xdr:to>
      <xdr:col>19</xdr:col>
      <xdr:colOff>406400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F478B8-5BB1-4313-5548-341D80C0B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12505</xdr:colOff>
      <xdr:row>48</xdr:row>
      <xdr:rowOff>39077</xdr:rowOff>
    </xdr:from>
    <xdr:to>
      <xdr:col>19</xdr:col>
      <xdr:colOff>371231</xdr:colOff>
      <xdr:row>63</xdr:row>
      <xdr:rowOff>39076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F51451-D013-361B-4B2F-BBC266D95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654D0-E2E8-4FC5-B104-6588DC407E35}" name="Table1" displayName="Table1" ref="B7:I37" totalsRowShown="0" headerRowDxfId="20" dataDxfId="0" headerRowBorderDxfId="19" tableBorderDxfId="18" totalsRowBorderDxfId="17">
  <autoFilter ref="B7:I37" xr:uid="{EDE654D0-E2E8-4FC5-B104-6588DC407E35}"/>
  <tableColumns count="8">
    <tableColumn id="1" xr3:uid="{00F86FBA-0BDD-45E1-9163-90BE48E85574}" name="ID" dataDxfId="8"/>
    <tableColumn id="2" xr3:uid="{A785CBC7-B2BD-4A04-ABD6-B9C751B1D967}" name="Name" dataDxfId="7"/>
    <tableColumn id="3" xr3:uid="{DA07CE06-F360-4696-BD4F-E3F686CE44AB}" name="Marks in Quiz_x000a_ (Out of 100)" dataDxfId="6"/>
    <tableColumn id="4" xr3:uid="{501C4B78-A2CB-4D28-A2D5-06FAEA57D1EA}" name="Mid Term Results (Out of 100)" dataDxfId="5"/>
    <tableColumn id="5" xr3:uid="{3E4656C0-28B1-498E-AE77-08D94CAC1328}" name="Final Term Resul  (Out of 100)" dataDxfId="4"/>
    <tableColumn id="6" xr3:uid="{EC7145A5-F5DD-414D-B357-88FD614A697F}" name="Final Score" dataDxfId="3">
      <calculatedColumnFormula>D8*32%+E8*33%+F8*35%</calculatedColumnFormula>
    </tableColumn>
    <tableColumn id="7" xr3:uid="{6752397A-B9CB-4012-A016-883B487CE0B9}" name="Grade" dataDxfId="2">
      <calculatedColumnFormula>IF(G8&gt;=81,"A",IF(G8&gt;=76,"AB",IF(G8&gt;=66,"B",IF(G8&gt;=61,"BC",IF(G8&gt;=51,"C",IF(G8&gt;=41,"D","E"))))))</calculatedColumnFormula>
    </tableColumn>
    <tableColumn id="8" xr3:uid="{6E9A8467-4A68-4D07-97E7-9BC9C4F14142}" name="Column1" data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D2A139-81DD-4595-AC95-EE666ED727C3}" name="Table2" displayName="Table2" ref="N7:Q14" totalsRowShown="0" headerRowDxfId="16" headerRowBorderDxfId="15" tableBorderDxfId="14" totalsRowBorderDxfId="13">
  <autoFilter ref="N7:Q14" xr:uid="{5ED2A139-81DD-4595-AC95-EE666ED727C3}"/>
  <tableColumns count="4">
    <tableColumn id="1" xr3:uid="{E22E9FBC-25F8-450A-B211-80035BF427BD}" name="Score" dataDxfId="12"/>
    <tableColumn id="2" xr3:uid="{6E31A0A8-31E5-4823-9381-45945959E03A}" name="Grade" dataDxfId="11"/>
    <tableColumn id="3" xr3:uid="{28B24C6E-56C3-4DF1-8695-D1209EFEDAF8}" name="Frequency" dataDxfId="10">
      <calculatedColumnFormula>C42</calculatedColumnFormula>
    </tableColumn>
    <tableColumn id="4" xr3:uid="{25FC73E9-0CBD-4AE8-B289-5AC84631191B}" name="Percentage" dataDxfId="9" dataCellStyle="Percent">
      <calculatedColumnFormula>P8/COUNTA($H$8:$H$37)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2:Q54"/>
  <sheetViews>
    <sheetView tabSelected="1" topLeftCell="A4" zoomScale="65" workbookViewId="0">
      <selection activeCell="B8" sqref="B8:I37"/>
    </sheetView>
  </sheetViews>
  <sheetFormatPr defaultRowHeight="14.4" x14ac:dyDescent="0.3"/>
  <cols>
    <col min="1" max="1" width="3.5546875" style="1" customWidth="1"/>
    <col min="2" max="2" width="12.33203125" style="1" customWidth="1"/>
    <col min="3" max="3" width="18.5546875" style="1" bestFit="1" customWidth="1"/>
    <col min="4" max="4" width="17.6640625" style="1" customWidth="1"/>
    <col min="5" max="5" width="30.21875" style="1" customWidth="1"/>
    <col min="6" max="6" width="29.77734375" style="1" customWidth="1"/>
    <col min="7" max="7" width="21.88671875" style="1" customWidth="1"/>
    <col min="8" max="8" width="15.44140625" style="1" customWidth="1"/>
    <col min="9" max="9" width="21.88671875" style="1" customWidth="1"/>
    <col min="16" max="16" width="12.5546875" customWidth="1"/>
    <col min="17" max="17" width="13.33203125" customWidth="1"/>
  </cols>
  <sheetData>
    <row r="2" spans="2:17" ht="18.600000000000001" thickBot="1" x14ac:dyDescent="0.35">
      <c r="B2" s="10" t="s">
        <v>0</v>
      </c>
      <c r="C2" s="10"/>
      <c r="D2" s="10"/>
      <c r="E2" s="10"/>
      <c r="F2" s="10"/>
      <c r="G2" s="10"/>
      <c r="H2" s="10"/>
      <c r="I2" s="10"/>
    </row>
    <row r="4" spans="2:17" ht="18.600000000000001" thickBot="1" x14ac:dyDescent="0.35">
      <c r="B4" s="10" t="s">
        <v>1</v>
      </c>
      <c r="C4" s="10"/>
      <c r="D4" s="10"/>
      <c r="E4" s="10"/>
      <c r="F4" s="10"/>
      <c r="G4" s="10"/>
      <c r="H4" s="10"/>
      <c r="I4" s="10"/>
    </row>
    <row r="7" spans="2:17" ht="31.2" x14ac:dyDescent="0.3">
      <c r="B7" s="7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9" t="s">
        <v>56</v>
      </c>
      <c r="N7" s="11" t="s">
        <v>39</v>
      </c>
      <c r="O7" s="12" t="s">
        <v>8</v>
      </c>
      <c r="P7" s="12" t="s">
        <v>40</v>
      </c>
      <c r="Q7" s="13" t="s">
        <v>41</v>
      </c>
    </row>
    <row r="8" spans="2:17" x14ac:dyDescent="0.3">
      <c r="B8" s="15">
        <v>120001</v>
      </c>
      <c r="C8" s="16" t="s">
        <v>9</v>
      </c>
      <c r="D8" s="17">
        <v>85</v>
      </c>
      <c r="E8" s="17">
        <v>78</v>
      </c>
      <c r="F8" s="17">
        <v>90</v>
      </c>
      <c r="G8" s="18">
        <f>D8*32%+E8*33%+F8*35%</f>
        <v>84.44</v>
      </c>
      <c r="H8" s="17" t="str">
        <f>IF(G8&gt;=81,"A",IF(G8&gt;=76,"AB",IF(G8&gt;=66,"B",IF(G8&gt;=61,"BC",IF(G8&gt;=51,"C",IF(G8&gt;=41,"D","E"))))))</f>
        <v>A</v>
      </c>
      <c r="I8" s="19"/>
      <c r="N8" s="3" t="s">
        <v>42</v>
      </c>
      <c r="O8" s="2" t="s">
        <v>49</v>
      </c>
      <c r="P8" s="2">
        <f t="shared" ref="P8:P14" si="0">C42</f>
        <v>76.221333333333334</v>
      </c>
      <c r="Q8" s="4">
        <f>P8/COUNTA($H$8:$H$37)</f>
        <v>2.5407111111111109</v>
      </c>
    </row>
    <row r="9" spans="2:17" x14ac:dyDescent="0.3">
      <c r="B9" s="15">
        <v>120005</v>
      </c>
      <c r="C9" s="16" t="s">
        <v>10</v>
      </c>
      <c r="D9" s="17">
        <v>92</v>
      </c>
      <c r="E9" s="17">
        <v>88</v>
      </c>
      <c r="F9" s="17">
        <v>94</v>
      </c>
      <c r="G9" s="18">
        <f t="shared" ref="G9:G37" si="1">D9*32%+E9*33%+F9*35%</f>
        <v>91.38</v>
      </c>
      <c r="H9" s="17" t="str">
        <f t="shared" ref="H9:H37" si="2">IF(G9&gt;=81,"A",IF(G9&gt;=76,"AB",IF(G9&gt;=66,"B",IF(G9&gt;=61,"BC",IF(G9&gt;=51,"C",IF(G9&gt;=41,"D","E"))))))</f>
        <v>A</v>
      </c>
      <c r="I9" s="19"/>
      <c r="N9" s="3" t="s">
        <v>43</v>
      </c>
      <c r="O9" s="2" t="s">
        <v>50</v>
      </c>
      <c r="P9" s="2">
        <f t="shared" si="0"/>
        <v>2.458650865134846</v>
      </c>
      <c r="Q9" s="4">
        <f t="shared" ref="Q9:Q14" si="3">P9/COUNTA($H$8:$H$37)</f>
        <v>8.1955028837828195E-2</v>
      </c>
    </row>
    <row r="10" spans="2:17" x14ac:dyDescent="0.3">
      <c r="B10" s="15">
        <v>120017</v>
      </c>
      <c r="C10" s="16" t="s">
        <v>11</v>
      </c>
      <c r="D10" s="17">
        <v>48</v>
      </c>
      <c r="E10" s="17">
        <v>65</v>
      </c>
      <c r="F10" s="17">
        <v>56</v>
      </c>
      <c r="G10" s="18">
        <f t="shared" si="1"/>
        <v>56.41</v>
      </c>
      <c r="H10" s="17" t="str">
        <f t="shared" si="2"/>
        <v>C</v>
      </c>
      <c r="I10" s="19"/>
      <c r="N10" s="3" t="s">
        <v>44</v>
      </c>
      <c r="O10" s="2" t="s">
        <v>51</v>
      </c>
      <c r="P10" s="2">
        <f t="shared" si="0"/>
        <v>78.8</v>
      </c>
      <c r="Q10" s="4">
        <f t="shared" si="3"/>
        <v>2.6266666666666665</v>
      </c>
    </row>
    <row r="11" spans="2:17" x14ac:dyDescent="0.3">
      <c r="B11" s="15">
        <v>120018</v>
      </c>
      <c r="C11" s="16" t="s">
        <v>12</v>
      </c>
      <c r="D11" s="17">
        <v>90</v>
      </c>
      <c r="E11" s="17">
        <v>85</v>
      </c>
      <c r="F11" s="17">
        <v>88</v>
      </c>
      <c r="G11" s="18">
        <f t="shared" si="1"/>
        <v>87.65</v>
      </c>
      <c r="H11" s="17" t="str">
        <f t="shared" si="2"/>
        <v>A</v>
      </c>
      <c r="I11" s="19"/>
      <c r="N11" s="3" t="s">
        <v>45</v>
      </c>
      <c r="O11" s="2" t="s">
        <v>52</v>
      </c>
      <c r="P11" s="2">
        <f t="shared" si="0"/>
        <v>80.3</v>
      </c>
      <c r="Q11" s="4">
        <f t="shared" si="3"/>
        <v>2.6766666666666667</v>
      </c>
    </row>
    <row r="12" spans="2:17" x14ac:dyDescent="0.3">
      <c r="B12" s="15">
        <v>120022</v>
      </c>
      <c r="C12" s="16" t="s">
        <v>13</v>
      </c>
      <c r="D12" s="17">
        <v>75</v>
      </c>
      <c r="E12" s="17">
        <v>80</v>
      </c>
      <c r="F12" s="17">
        <v>77</v>
      </c>
      <c r="G12" s="18">
        <f t="shared" si="1"/>
        <v>77.350000000000009</v>
      </c>
      <c r="H12" s="17" t="str">
        <f t="shared" si="2"/>
        <v>AB</v>
      </c>
      <c r="I12" s="19"/>
      <c r="N12" s="3" t="s">
        <v>46</v>
      </c>
      <c r="O12" s="2" t="s">
        <v>53</v>
      </c>
      <c r="P12" s="2">
        <f t="shared" si="0"/>
        <v>13.466585398639472</v>
      </c>
      <c r="Q12" s="4">
        <f t="shared" si="3"/>
        <v>0.44888617995464908</v>
      </c>
    </row>
    <row r="13" spans="2:17" x14ac:dyDescent="0.3">
      <c r="B13" s="15">
        <v>120024</v>
      </c>
      <c r="C13" s="16" t="s">
        <v>14</v>
      </c>
      <c r="D13" s="17">
        <v>88</v>
      </c>
      <c r="E13" s="17">
        <v>70</v>
      </c>
      <c r="F13" s="17">
        <v>65</v>
      </c>
      <c r="G13" s="18">
        <f t="shared" si="1"/>
        <v>74.010000000000005</v>
      </c>
      <c r="H13" s="17" t="str">
        <f t="shared" si="2"/>
        <v>B</v>
      </c>
      <c r="I13" s="19"/>
      <c r="N13" s="3" t="s">
        <v>47</v>
      </c>
      <c r="O13" s="2" t="s">
        <v>54</v>
      </c>
      <c r="P13" s="2">
        <f t="shared" si="0"/>
        <v>181.34892229884983</v>
      </c>
      <c r="Q13" s="4">
        <f t="shared" si="3"/>
        <v>6.0449640766283279</v>
      </c>
    </row>
    <row r="14" spans="2:17" x14ac:dyDescent="0.3">
      <c r="B14" s="15">
        <v>120025</v>
      </c>
      <c r="C14" s="16" t="s">
        <v>15</v>
      </c>
      <c r="D14" s="17">
        <v>75</v>
      </c>
      <c r="E14" s="17">
        <v>70</v>
      </c>
      <c r="F14" s="17">
        <v>75</v>
      </c>
      <c r="G14" s="18">
        <f t="shared" si="1"/>
        <v>73.349999999999994</v>
      </c>
      <c r="H14" s="17" t="str">
        <f t="shared" si="2"/>
        <v>B</v>
      </c>
      <c r="I14" s="19"/>
      <c r="N14" s="5" t="s">
        <v>48</v>
      </c>
      <c r="O14" s="6" t="s">
        <v>55</v>
      </c>
      <c r="P14" s="6">
        <f t="shared" si="0"/>
        <v>-0.52746295616182159</v>
      </c>
      <c r="Q14" s="4">
        <f t="shared" si="3"/>
        <v>-1.7582098538727386E-2</v>
      </c>
    </row>
    <row r="15" spans="2:17" x14ac:dyDescent="0.3">
      <c r="B15" s="15">
        <v>120027</v>
      </c>
      <c r="C15" s="16" t="s">
        <v>16</v>
      </c>
      <c r="D15" s="17">
        <v>95</v>
      </c>
      <c r="E15" s="17">
        <v>91</v>
      </c>
      <c r="F15" s="17">
        <v>96</v>
      </c>
      <c r="G15" s="18">
        <f t="shared" si="1"/>
        <v>94.03</v>
      </c>
      <c r="H15" s="17" t="str">
        <f t="shared" si="2"/>
        <v>A</v>
      </c>
      <c r="I15" s="19"/>
    </row>
    <row r="16" spans="2:17" x14ac:dyDescent="0.3">
      <c r="B16" s="15">
        <v>120034</v>
      </c>
      <c r="C16" s="16" t="s">
        <v>17</v>
      </c>
      <c r="D16" s="17">
        <v>79</v>
      </c>
      <c r="E16" s="17">
        <v>84</v>
      </c>
      <c r="F16" s="17">
        <v>78</v>
      </c>
      <c r="G16" s="18">
        <f t="shared" si="1"/>
        <v>80.3</v>
      </c>
      <c r="H16" s="17" t="str">
        <f t="shared" si="2"/>
        <v>AB</v>
      </c>
      <c r="I16" s="19"/>
    </row>
    <row r="17" spans="2:9" x14ac:dyDescent="0.3">
      <c r="B17" s="15">
        <v>120035</v>
      </c>
      <c r="C17" s="16" t="s">
        <v>18</v>
      </c>
      <c r="D17" s="17">
        <v>42</v>
      </c>
      <c r="E17" s="17">
        <v>48</v>
      </c>
      <c r="F17" s="17">
        <v>63</v>
      </c>
      <c r="G17" s="18">
        <f t="shared" si="1"/>
        <v>51.33</v>
      </c>
      <c r="H17" s="17" t="str">
        <f t="shared" si="2"/>
        <v>C</v>
      </c>
      <c r="I17" s="19"/>
    </row>
    <row r="18" spans="2:9" x14ac:dyDescent="0.3">
      <c r="B18" s="15">
        <v>120036</v>
      </c>
      <c r="C18" s="16" t="s">
        <v>19</v>
      </c>
      <c r="D18" s="17">
        <v>53</v>
      </c>
      <c r="E18" s="17">
        <v>64</v>
      </c>
      <c r="F18" s="17">
        <v>59</v>
      </c>
      <c r="G18" s="18">
        <f t="shared" si="1"/>
        <v>58.73</v>
      </c>
      <c r="H18" s="17" t="str">
        <f t="shared" si="2"/>
        <v>C</v>
      </c>
      <c r="I18" s="19"/>
    </row>
    <row r="19" spans="2:9" x14ac:dyDescent="0.3">
      <c r="B19" s="15">
        <v>120038</v>
      </c>
      <c r="C19" s="16" t="s">
        <v>20</v>
      </c>
      <c r="D19" s="17">
        <v>91</v>
      </c>
      <c r="E19" s="17">
        <v>95</v>
      </c>
      <c r="F19" s="17">
        <v>90</v>
      </c>
      <c r="G19" s="18">
        <f t="shared" si="1"/>
        <v>91.97</v>
      </c>
      <c r="H19" s="17" t="str">
        <f t="shared" si="2"/>
        <v>A</v>
      </c>
      <c r="I19" s="19"/>
    </row>
    <row r="20" spans="2:9" x14ac:dyDescent="0.3">
      <c r="B20" s="15">
        <v>120039</v>
      </c>
      <c r="C20" s="16" t="s">
        <v>21</v>
      </c>
      <c r="D20" s="17">
        <v>76</v>
      </c>
      <c r="E20" s="17">
        <v>81</v>
      </c>
      <c r="F20" s="17">
        <v>75</v>
      </c>
      <c r="G20" s="18">
        <f t="shared" si="1"/>
        <v>77.3</v>
      </c>
      <c r="H20" s="17" t="str">
        <f t="shared" si="2"/>
        <v>AB</v>
      </c>
      <c r="I20" s="19"/>
    </row>
    <row r="21" spans="2:9" x14ac:dyDescent="0.3">
      <c r="B21" s="15">
        <v>120046</v>
      </c>
      <c r="C21" s="16" t="s">
        <v>22</v>
      </c>
      <c r="D21" s="17">
        <v>89</v>
      </c>
      <c r="E21" s="17">
        <v>93</v>
      </c>
      <c r="F21" s="17">
        <v>88</v>
      </c>
      <c r="G21" s="18">
        <f t="shared" si="1"/>
        <v>89.97</v>
      </c>
      <c r="H21" s="17" t="str">
        <f t="shared" si="2"/>
        <v>A</v>
      </c>
      <c r="I21" s="19"/>
    </row>
    <row r="22" spans="2:9" x14ac:dyDescent="0.3">
      <c r="B22" s="15">
        <v>120047</v>
      </c>
      <c r="C22" s="16" t="s">
        <v>23</v>
      </c>
      <c r="D22" s="17">
        <v>80</v>
      </c>
      <c r="E22" s="17">
        <v>85</v>
      </c>
      <c r="F22" s="17">
        <v>79</v>
      </c>
      <c r="G22" s="18">
        <f t="shared" si="1"/>
        <v>81.300000000000011</v>
      </c>
      <c r="H22" s="17" t="str">
        <f t="shared" si="2"/>
        <v>A</v>
      </c>
      <c r="I22" s="19"/>
    </row>
    <row r="23" spans="2:9" x14ac:dyDescent="0.3">
      <c r="B23" s="15">
        <v>120049</v>
      </c>
      <c r="C23" s="16" t="s">
        <v>24</v>
      </c>
      <c r="D23" s="17">
        <v>94</v>
      </c>
      <c r="E23" s="17">
        <v>90</v>
      </c>
      <c r="F23" s="17">
        <v>95</v>
      </c>
      <c r="G23" s="18">
        <f t="shared" si="1"/>
        <v>93.03</v>
      </c>
      <c r="H23" s="17" t="str">
        <f t="shared" si="2"/>
        <v>A</v>
      </c>
      <c r="I23" s="19"/>
    </row>
    <row r="24" spans="2:9" x14ac:dyDescent="0.3">
      <c r="B24" s="15">
        <v>120054</v>
      </c>
      <c r="C24" s="16" t="s">
        <v>25</v>
      </c>
      <c r="D24" s="17">
        <v>77</v>
      </c>
      <c r="E24" s="17">
        <v>82</v>
      </c>
      <c r="F24" s="17">
        <v>76</v>
      </c>
      <c r="G24" s="18">
        <f t="shared" si="1"/>
        <v>78.3</v>
      </c>
      <c r="H24" s="17" t="str">
        <f t="shared" si="2"/>
        <v>AB</v>
      </c>
      <c r="I24" s="19"/>
    </row>
    <row r="25" spans="2:9" x14ac:dyDescent="0.3">
      <c r="B25" s="15">
        <v>120060</v>
      </c>
      <c r="C25" s="16" t="s">
        <v>26</v>
      </c>
      <c r="D25" s="17">
        <v>86</v>
      </c>
      <c r="E25" s="17">
        <v>89</v>
      </c>
      <c r="F25" s="17">
        <v>84</v>
      </c>
      <c r="G25" s="18">
        <f t="shared" si="1"/>
        <v>86.289999999999992</v>
      </c>
      <c r="H25" s="17" t="str">
        <f t="shared" si="2"/>
        <v>A</v>
      </c>
      <c r="I25" s="19"/>
    </row>
    <row r="26" spans="2:9" x14ac:dyDescent="0.3">
      <c r="B26" s="15">
        <v>120063</v>
      </c>
      <c r="C26" s="16" t="s">
        <v>27</v>
      </c>
      <c r="D26" s="17">
        <v>92</v>
      </c>
      <c r="E26" s="17">
        <v>88</v>
      </c>
      <c r="F26" s="17">
        <v>93</v>
      </c>
      <c r="G26" s="18">
        <f t="shared" si="1"/>
        <v>91.03</v>
      </c>
      <c r="H26" s="17" t="str">
        <f t="shared" si="2"/>
        <v>A</v>
      </c>
      <c r="I26" s="19"/>
    </row>
    <row r="27" spans="2:9" x14ac:dyDescent="0.3">
      <c r="B27" s="15">
        <v>120070</v>
      </c>
      <c r="C27" s="16" t="s">
        <v>28</v>
      </c>
      <c r="D27" s="17">
        <v>78</v>
      </c>
      <c r="E27" s="17">
        <v>83</v>
      </c>
      <c r="F27" s="17">
        <v>77</v>
      </c>
      <c r="G27" s="18">
        <f t="shared" si="1"/>
        <v>79.3</v>
      </c>
      <c r="H27" s="17" t="str">
        <f t="shared" si="2"/>
        <v>AB</v>
      </c>
      <c r="I27" s="19"/>
    </row>
    <row r="28" spans="2:9" x14ac:dyDescent="0.3">
      <c r="B28" s="15">
        <v>120071</v>
      </c>
      <c r="C28" s="16" t="s">
        <v>29</v>
      </c>
      <c r="D28" s="17">
        <v>41</v>
      </c>
      <c r="E28" s="17">
        <v>53</v>
      </c>
      <c r="F28" s="17">
        <v>44</v>
      </c>
      <c r="G28" s="18">
        <f t="shared" si="1"/>
        <v>46.010000000000005</v>
      </c>
      <c r="H28" s="17" t="str">
        <f t="shared" si="2"/>
        <v>D</v>
      </c>
      <c r="I28" s="19"/>
    </row>
    <row r="29" spans="2:9" x14ac:dyDescent="0.3">
      <c r="B29" s="15">
        <v>120073</v>
      </c>
      <c r="C29" s="16" t="s">
        <v>30</v>
      </c>
      <c r="D29" s="17">
        <v>68</v>
      </c>
      <c r="E29" s="17">
        <v>49</v>
      </c>
      <c r="F29" s="17">
        <v>54</v>
      </c>
      <c r="G29" s="18">
        <f t="shared" si="1"/>
        <v>56.830000000000005</v>
      </c>
      <c r="H29" s="17" t="str">
        <f t="shared" si="2"/>
        <v>C</v>
      </c>
      <c r="I29" s="19"/>
    </row>
    <row r="30" spans="2:9" x14ac:dyDescent="0.3">
      <c r="B30" s="15">
        <v>120082</v>
      </c>
      <c r="C30" s="16" t="s">
        <v>31</v>
      </c>
      <c r="D30" s="17">
        <v>81</v>
      </c>
      <c r="E30" s="17">
        <v>87</v>
      </c>
      <c r="F30" s="17">
        <v>80</v>
      </c>
      <c r="G30" s="18">
        <f t="shared" si="1"/>
        <v>82.63</v>
      </c>
      <c r="H30" s="17" t="str">
        <f t="shared" si="2"/>
        <v>A</v>
      </c>
      <c r="I30" s="19"/>
    </row>
    <row r="31" spans="2:9" x14ac:dyDescent="0.3">
      <c r="B31" s="15">
        <v>120083</v>
      </c>
      <c r="C31" s="16" t="s">
        <v>32</v>
      </c>
      <c r="D31" s="17">
        <v>87</v>
      </c>
      <c r="E31" s="17">
        <v>90</v>
      </c>
      <c r="F31" s="17">
        <v>85</v>
      </c>
      <c r="G31" s="18">
        <f t="shared" si="1"/>
        <v>87.29</v>
      </c>
      <c r="H31" s="17" t="str">
        <f t="shared" si="2"/>
        <v>A</v>
      </c>
      <c r="I31" s="19"/>
    </row>
    <row r="32" spans="2:9" x14ac:dyDescent="0.3">
      <c r="B32" s="15">
        <v>120088</v>
      </c>
      <c r="C32" s="16" t="s">
        <v>33</v>
      </c>
      <c r="D32" s="17">
        <v>79</v>
      </c>
      <c r="E32" s="17">
        <v>84</v>
      </c>
      <c r="F32" s="17">
        <v>78</v>
      </c>
      <c r="G32" s="18">
        <f t="shared" si="1"/>
        <v>80.3</v>
      </c>
      <c r="H32" s="17" t="str">
        <f t="shared" si="2"/>
        <v>AB</v>
      </c>
      <c r="I32" s="19"/>
    </row>
    <row r="33" spans="2:9" x14ac:dyDescent="0.3">
      <c r="B33" s="15">
        <v>120090</v>
      </c>
      <c r="C33" s="16" t="s">
        <v>34</v>
      </c>
      <c r="D33" s="17">
        <v>70</v>
      </c>
      <c r="E33" s="17">
        <v>77</v>
      </c>
      <c r="F33" s="17">
        <v>64</v>
      </c>
      <c r="G33" s="18">
        <f t="shared" si="1"/>
        <v>70.210000000000008</v>
      </c>
      <c r="H33" s="17" t="str">
        <f t="shared" si="2"/>
        <v>B</v>
      </c>
      <c r="I33" s="19"/>
    </row>
    <row r="34" spans="2:9" x14ac:dyDescent="0.3">
      <c r="B34" s="15">
        <v>120093</v>
      </c>
      <c r="C34" s="16" t="s">
        <v>35</v>
      </c>
      <c r="D34" s="17">
        <v>67</v>
      </c>
      <c r="E34" s="17">
        <v>54</v>
      </c>
      <c r="F34" s="17">
        <v>54</v>
      </c>
      <c r="G34" s="18">
        <f t="shared" si="1"/>
        <v>58.160000000000004</v>
      </c>
      <c r="H34" s="17" t="str">
        <f t="shared" si="2"/>
        <v>C</v>
      </c>
      <c r="I34" s="19"/>
    </row>
    <row r="35" spans="2:9" x14ac:dyDescent="0.3">
      <c r="B35" s="15">
        <v>120095</v>
      </c>
      <c r="C35" s="16" t="s">
        <v>36</v>
      </c>
      <c r="D35" s="17">
        <v>69</v>
      </c>
      <c r="E35" s="17">
        <v>62</v>
      </c>
      <c r="F35" s="17">
        <v>71</v>
      </c>
      <c r="G35" s="18">
        <f t="shared" si="1"/>
        <v>67.39</v>
      </c>
      <c r="H35" s="17" t="str">
        <f t="shared" si="2"/>
        <v>B</v>
      </c>
      <c r="I35" s="19"/>
    </row>
    <row r="36" spans="2:9" x14ac:dyDescent="0.3">
      <c r="B36" s="15">
        <v>120098</v>
      </c>
      <c r="C36" s="16" t="s">
        <v>37</v>
      </c>
      <c r="D36" s="17">
        <v>76</v>
      </c>
      <c r="E36" s="17">
        <v>81</v>
      </c>
      <c r="F36" s="17">
        <v>75</v>
      </c>
      <c r="G36" s="18">
        <f t="shared" si="1"/>
        <v>77.3</v>
      </c>
      <c r="H36" s="17" t="str">
        <f t="shared" si="2"/>
        <v>AB</v>
      </c>
      <c r="I36" s="19"/>
    </row>
    <row r="37" spans="2:9" x14ac:dyDescent="0.3">
      <c r="B37" s="20">
        <v>120099</v>
      </c>
      <c r="C37" s="21" t="s">
        <v>38</v>
      </c>
      <c r="D37" s="22">
        <v>60</v>
      </c>
      <c r="E37" s="22">
        <v>65</v>
      </c>
      <c r="F37" s="22">
        <v>64</v>
      </c>
      <c r="G37" s="23">
        <f t="shared" si="1"/>
        <v>63.05</v>
      </c>
      <c r="H37" s="22" t="str">
        <f t="shared" si="2"/>
        <v>BC</v>
      </c>
      <c r="I37" s="24"/>
    </row>
    <row r="40" spans="2:9" x14ac:dyDescent="0.3">
      <c r="B40" s="14" t="s">
        <v>56</v>
      </c>
      <c r="C40" s="14"/>
    </row>
    <row r="41" spans="2:9" x14ac:dyDescent="0.3">
      <c r="B41" s="2"/>
      <c r="C41" s="2"/>
    </row>
    <row r="42" spans="2:9" x14ac:dyDescent="0.3">
      <c r="B42" s="2" t="s">
        <v>57</v>
      </c>
      <c r="C42" s="2">
        <v>76.221333333333334</v>
      </c>
    </row>
    <row r="43" spans="2:9" x14ac:dyDescent="0.3">
      <c r="B43" s="2" t="s">
        <v>58</v>
      </c>
      <c r="C43" s="2">
        <v>2.458650865134846</v>
      </c>
    </row>
    <row r="44" spans="2:9" x14ac:dyDescent="0.3">
      <c r="B44" s="2" t="s">
        <v>59</v>
      </c>
      <c r="C44" s="2">
        <v>78.8</v>
      </c>
    </row>
    <row r="45" spans="2:9" x14ac:dyDescent="0.3">
      <c r="B45" s="2" t="s">
        <v>60</v>
      </c>
      <c r="C45" s="2">
        <v>80.3</v>
      </c>
    </row>
    <row r="46" spans="2:9" x14ac:dyDescent="0.3">
      <c r="B46" s="2" t="s">
        <v>61</v>
      </c>
      <c r="C46" s="2">
        <v>13.466585398639472</v>
      </c>
    </row>
    <row r="47" spans="2:9" x14ac:dyDescent="0.3">
      <c r="B47" s="2" t="s">
        <v>62</v>
      </c>
      <c r="C47" s="2">
        <v>181.34892229884983</v>
      </c>
    </row>
    <row r="48" spans="2:9" x14ac:dyDescent="0.3">
      <c r="B48" s="2" t="s">
        <v>63</v>
      </c>
      <c r="C48" s="2">
        <v>-0.52746295616182159</v>
      </c>
    </row>
    <row r="49" spans="2:3" x14ac:dyDescent="0.3">
      <c r="B49" s="2" t="s">
        <v>64</v>
      </c>
      <c r="C49" s="2">
        <v>-0.66419035420078054</v>
      </c>
    </row>
    <row r="50" spans="2:3" x14ac:dyDescent="0.3">
      <c r="B50" s="2" t="s">
        <v>65</v>
      </c>
      <c r="C50" s="2">
        <v>48.019999999999996</v>
      </c>
    </row>
    <row r="51" spans="2:3" x14ac:dyDescent="0.3">
      <c r="B51" s="2" t="s">
        <v>66</v>
      </c>
      <c r="C51" s="2">
        <v>46.010000000000005</v>
      </c>
    </row>
    <row r="52" spans="2:3" x14ac:dyDescent="0.3">
      <c r="B52" s="2" t="s">
        <v>67</v>
      </c>
      <c r="C52" s="2">
        <v>94.03</v>
      </c>
    </row>
    <row r="53" spans="2:3" x14ac:dyDescent="0.3">
      <c r="B53" s="2" t="s">
        <v>68</v>
      </c>
      <c r="C53" s="2">
        <v>2286.64</v>
      </c>
    </row>
    <row r="54" spans="2:3" x14ac:dyDescent="0.3">
      <c r="B54" s="2" t="s">
        <v>69</v>
      </c>
      <c r="C54" s="2">
        <v>30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Yuuki Rito</cp:lastModifiedBy>
  <dcterms:created xsi:type="dcterms:W3CDTF">2026-09-15T00:47:47Z</dcterms:created>
  <dcterms:modified xsi:type="dcterms:W3CDTF">2026-09-15T02:00:16Z</dcterms:modified>
</cp:coreProperties>
</file>